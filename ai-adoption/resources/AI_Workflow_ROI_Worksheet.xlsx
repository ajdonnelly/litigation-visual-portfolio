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Workshee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&quot;$&quot;#,##0"/>
  </numFmts>
  <fonts count="8">
    <font>
      <name val="Calibri"/>
      <family val="2"/>
      <color theme="1"/>
      <sz val="11"/>
      <scheme val="minor"/>
    </font>
    <font>
      <b val="1"/>
      <color rgb="0016212B"/>
      <sz val="18"/>
    </font>
    <font>
      <color rgb="005A6672"/>
      <sz val="11"/>
    </font>
    <font>
      <b val="1"/>
      <color rgb="000F6E56"/>
      <sz val="10"/>
    </font>
    <font>
      <sz val="11"/>
    </font>
    <font>
      <b val="1"/>
      <color rgb="00FFFFFF"/>
      <sz val="11"/>
    </font>
    <font>
      <i val="1"/>
      <color rgb="000F6E56"/>
      <sz val="10"/>
    </font>
    <font>
      <color rgb="0016212B"/>
      <sz val="11"/>
    </font>
  </fonts>
  <fills count="5">
    <fill>
      <patternFill/>
    </fill>
    <fill>
      <patternFill patternType="gray125"/>
    </fill>
    <fill>
      <patternFill patternType="solid">
        <fgColor rgb="00FFF9E9"/>
      </patternFill>
    </fill>
    <fill>
      <patternFill patternType="solid">
        <fgColor rgb="000F8C8C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165" fontId="0" fillId="4" borderId="1" applyAlignment="1" pivotButton="0" quotePrefix="0" xfId="0">
      <alignment horizontal="center" vertical="center"/>
    </xf>
    <xf numFmtId="166" fontId="0" fillId="2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2">
      <c r="B2" s="1" t="inlineStr">
        <is>
          <t>AI Workflow ROI Worksheet</t>
        </is>
      </c>
    </row>
    <row r="3">
      <c r="B3" s="2" t="inlineStr">
        <is>
          <t>Capture the baseline BEFORE you change anything. Yellow cells are for you to fill in; the rest calculate.</t>
        </is>
      </c>
    </row>
    <row r="5">
      <c r="B5" s="3" t="inlineStr">
        <is>
          <t>SETUP</t>
        </is>
      </c>
    </row>
    <row r="6">
      <c r="B6" s="4" t="inlineStr">
        <is>
          <t>Workflow / task</t>
        </is>
      </c>
      <c r="C6" s="5" t="inlineStr"/>
    </row>
    <row r="7">
      <c r="B7" s="4" t="inlineStr">
        <is>
          <t>Owner</t>
        </is>
      </c>
      <c r="C7" s="5" t="inlineStr"/>
    </row>
    <row r="8">
      <c r="B8" s="4" t="inlineStr">
        <is>
          <t>Measurement period (e.g. Q1 vs Q3)</t>
        </is>
      </c>
      <c r="C8" s="5" t="inlineStr"/>
    </row>
    <row r="9">
      <c r="B9" s="4" t="inlineStr">
        <is>
          <t>People using this workflow</t>
        </is>
      </c>
      <c r="C9" s="5" t="n">
        <v>1</v>
      </c>
    </row>
    <row r="10">
      <c r="B10" s="4" t="inlineStr">
        <is>
          <t>Times this task is performed per month</t>
        </is>
      </c>
      <c r="C10" s="5" t="n">
        <v>20</v>
      </c>
    </row>
    <row r="12">
      <c r="B12" s="3" t="inlineStr">
        <is>
          <t>METRICS</t>
        </is>
      </c>
    </row>
    <row r="13">
      <c r="B13" s="6" t="inlineStr">
        <is>
          <t>Metric</t>
        </is>
      </c>
      <c r="C13" s="6" t="inlineStr">
        <is>
          <t>Baseline (before)</t>
        </is>
      </c>
      <c r="D13" s="6" t="inlineStr">
        <is>
          <t>Current (after)</t>
        </is>
      </c>
      <c r="E13" s="6" t="inlineStr">
        <is>
          <t>Change</t>
        </is>
      </c>
      <c r="F13" s="6" t="inlineStr">
        <is>
          <t>% change</t>
        </is>
      </c>
      <c r="G13" s="6" t="inlineStr">
        <is>
          <t>Notes</t>
        </is>
      </c>
    </row>
    <row r="14">
      <c r="B14" s="7" t="inlineStr">
        <is>
          <t>Task completion time (minutes)</t>
        </is>
      </c>
      <c r="C14" s="5" t="n">
        <v>95</v>
      </c>
      <c r="D14" s="5" t="n">
        <v>58</v>
      </c>
      <c r="E14" s="8">
        <f>IF(OR(C14="",D14=""),"",D14-C14)</f>
        <v/>
      </c>
      <c r="F14" s="9">
        <f>IF(OR(C14="",C14=0,D14=""),"",(D14-C14)/C14)</f>
        <v/>
      </c>
      <c r="G14" s="10" t="inlineStr">
        <is>
          <t>Lower is better</t>
        </is>
      </c>
    </row>
    <row r="15">
      <c r="B15" s="7" t="inlineStr">
        <is>
          <t>Rework rate (% of work redone)</t>
        </is>
      </c>
      <c r="C15" s="5" t="n">
        <v>18</v>
      </c>
      <c r="D15" s="5" t="n">
        <v>7</v>
      </c>
      <c r="E15" s="8">
        <f>IF(OR(C15="",D15=""),"",D15-C15)</f>
        <v/>
      </c>
      <c r="F15" s="9">
        <f>IF(OR(C15="",C15=0,D15=""),"",(D15-C15)/C15)</f>
        <v/>
      </c>
      <c r="G15" s="10" t="inlineStr">
        <is>
          <t>Lower is better</t>
        </is>
      </c>
    </row>
    <row r="16">
      <c r="B16" s="7" t="inlineStr">
        <is>
          <t>Speed to first draft (hours)</t>
        </is>
      </c>
      <c r="C16" s="5" t="n">
        <v>6</v>
      </c>
      <c r="D16" s="5" t="n">
        <v>2.5</v>
      </c>
      <c r="E16" s="8">
        <f>IF(OR(C16="",D16=""),"",D16-C16)</f>
        <v/>
      </c>
      <c r="F16" s="9">
        <f>IF(OR(C16="",C16=0,D16=""),"",(D16-C16)/C16)</f>
        <v/>
      </c>
      <c r="G16" s="10" t="inlineStr">
        <is>
          <t>Lower is better</t>
        </is>
      </c>
    </row>
    <row r="17">
      <c r="B17" s="7" t="inlineStr">
        <is>
          <t>Matter throughput (per month)</t>
        </is>
      </c>
      <c r="C17" s="5" t="n">
        <v>12</v>
      </c>
      <c r="D17" s="5" t="n">
        <v>16</v>
      </c>
      <c r="E17" s="8">
        <f>IF(OR(C17="",D17=""),"",D17-C17)</f>
        <v/>
      </c>
      <c r="F17" s="9">
        <f>IF(OR(C17="",C17=0,D17=""),"",(D17-C17)/C17)</f>
        <v/>
      </c>
      <c r="G17" s="10" t="inlineStr">
        <is>
          <t>Higher is better</t>
        </is>
      </c>
    </row>
    <row r="18">
      <c r="B18" s="7" t="inlineStr">
        <is>
          <t>Client responsiveness (hours to respond)</t>
        </is>
      </c>
      <c r="C18" s="5" t="n">
        <v>24</v>
      </c>
      <c r="D18" s="5" t="n">
        <v>8</v>
      </c>
      <c r="E18" s="8">
        <f>IF(OR(C18="",D18=""),"",D18-C18)</f>
        <v/>
      </c>
      <c r="F18" s="9">
        <f>IF(OR(C18="",C18=0,D18=""),"",(D18-C18)/C18)</f>
        <v/>
      </c>
      <c r="G18" s="10" t="inlineStr">
        <is>
          <t>Lower is better</t>
        </is>
      </c>
    </row>
    <row r="19">
      <c r="B19" s="7" t="inlineStr">
        <is>
          <t>User confidence (1–5)</t>
        </is>
      </c>
      <c r="C19" s="5" t="n">
        <v>2.5</v>
      </c>
      <c r="D19" s="5" t="n">
        <v>4.2</v>
      </c>
      <c r="E19" s="8">
        <f>IF(OR(C19="",D19=""),"",D19-C19)</f>
        <v/>
      </c>
      <c r="F19" s="9">
        <f>IF(OR(C19="",C19=0,D19=""),"",(D19-C19)/C19)</f>
        <v/>
      </c>
      <c r="G19" s="10" t="inlineStr">
        <is>
          <t>Higher is better</t>
        </is>
      </c>
    </row>
    <row r="20">
      <c r="B20" s="7" t="inlineStr">
        <is>
          <t>User satisfaction (1–5)</t>
        </is>
      </c>
      <c r="C20" s="5" t="n">
        <v>3</v>
      </c>
      <c r="D20" s="5" t="n">
        <v>4.4</v>
      </c>
      <c r="E20" s="8">
        <f>IF(OR(C20="",D20=""),"",D20-C20)</f>
        <v/>
      </c>
      <c r="F20" s="9">
        <f>IF(OR(C20="",C20=0,D20=""),"",(D20-C20)/C20)</f>
        <v/>
      </c>
      <c r="G20" s="10" t="inlineStr">
        <is>
          <t>Higher is better</t>
        </is>
      </c>
    </row>
    <row r="22">
      <c r="B22" s="3" t="inlineStr">
        <is>
          <t>TIME IMPACT</t>
        </is>
      </c>
    </row>
    <row r="23">
      <c r="B23" s="11" t="inlineStr">
        <is>
          <t>Minutes saved per task</t>
        </is>
      </c>
      <c r="C23" s="12">
        <f>IF(OR(C14="",D14=""),"",C14-D14)</f>
        <v/>
      </c>
    </row>
    <row r="24">
      <c r="B24" s="11" t="inlineStr">
        <is>
          <t>Hours saved per month (all users)</t>
        </is>
      </c>
      <c r="C24" s="12">
        <f>IF(C23="","",(C23*C10*C9)/60)</f>
        <v/>
      </c>
    </row>
    <row r="25">
      <c r="B25" s="11" t="inlineStr">
        <is>
          <t>Hours saved per year</t>
        </is>
      </c>
      <c r="C25" s="12">
        <f>IF(C24="","",C24*12)</f>
        <v/>
      </c>
    </row>
    <row r="26">
      <c r="B26" s="11" t="inlineStr">
        <is>
          <t>Value of an hour (optional — your figure)</t>
        </is>
      </c>
      <c r="C26" s="13" t="n">
        <v>0</v>
      </c>
    </row>
    <row r="27">
      <c r="B27" s="11" t="inlineStr">
        <is>
          <t>Value of time recaptured per year (optional)</t>
        </is>
      </c>
      <c r="C27" s="14">
        <f>IF(OR(C25="",C26=""),"",C25*C26)</f>
        <v/>
      </c>
      <c r="G27" s="2" t="inlineStr">
        <is>
          <t>Only claim this if your firm agrees on the figure.</t>
        </is>
      </c>
    </row>
    <row r="29">
      <c r="B29" s="3" t="inlineStr">
        <is>
          <t>TRACK YOUR PRIMARY METRIC OVER TIME</t>
        </is>
      </c>
    </row>
    <row r="30">
      <c r="B30" s="6" t="inlineStr">
        <is>
          <t>Period</t>
        </is>
      </c>
      <c r="C30" s="6" t="inlineStr">
        <is>
          <t>Value</t>
        </is>
      </c>
      <c r="D30" s="6" t="inlineStr">
        <is>
          <t>% vs baseline</t>
        </is>
      </c>
    </row>
    <row r="31">
      <c r="B31" s="11" t="inlineStr">
        <is>
          <t>Baseline</t>
        </is>
      </c>
      <c r="C31" s="5" t="inlineStr"/>
      <c r="D31" s="9">
        <f>IF(OR(C31="",C31=""),"",(C31-C31)/C31)</f>
        <v/>
      </c>
    </row>
    <row r="32">
      <c r="B32" s="11" t="inlineStr">
        <is>
          <t>Q1</t>
        </is>
      </c>
      <c r="C32" s="5" t="inlineStr"/>
      <c r="D32" s="9">
        <f>IF(OR(C32="",C31=""),"",(C32-C31)/C31)</f>
        <v/>
      </c>
    </row>
    <row r="33">
      <c r="B33" s="11" t="inlineStr">
        <is>
          <t>Q2</t>
        </is>
      </c>
      <c r="C33" s="5" t="inlineStr"/>
      <c r="D33" s="9">
        <f>IF(OR(C33="",C31=""),"",(C33-C31)/C31)</f>
        <v/>
      </c>
    </row>
    <row r="34">
      <c r="B34" s="11" t="inlineStr">
        <is>
          <t>Q3</t>
        </is>
      </c>
      <c r="C34" s="5" t="inlineStr"/>
      <c r="D34" s="9">
        <f>IF(OR(C34="",C31=""),"",(C34-C31)/C31)</f>
        <v/>
      </c>
    </row>
    <row r="35">
      <c r="B35" s="11" t="inlineStr">
        <is>
          <t>Q4</t>
        </is>
      </c>
      <c r="C35" s="5" t="inlineStr"/>
      <c r="D35" s="9">
        <f>IF(OR(C35="",C31=""),"",(C35-C31)/C31)</f>
        <v/>
      </c>
    </row>
    <row r="37">
      <c r="B37" s="15" t="inlineStr">
        <is>
          <t>Remember: a time saving is only real if quality held. Check rework and confidence moved the right way too.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How to Use This Worksheet</t>
        </is>
      </c>
    </row>
    <row r="4" ht="30" customHeight="1">
      <c r="B4" s="16" t="inlineStr">
        <is>
          <t>1.  Baseline first. Record how the task performs today, BEFORE you introduce AI. Without a baseline you cannot prove anything.</t>
        </is>
      </c>
    </row>
    <row r="5" ht="30" customHeight="1">
      <c r="B5" s="16" t="inlineStr">
        <is>
          <t>2.  Fill in the yellow cells only. Everything else calculates for you.</t>
        </is>
      </c>
    </row>
    <row r="6" ht="30" customHeight="1">
      <c r="B6" s="16" t="inlineStr">
        <is>
          <t>3.  Pick one primary metric. Task completion time is the easiest place to start; the others are supporting evidence.</t>
        </is>
      </c>
    </row>
    <row r="7" ht="30" customHeight="1">
      <c r="B7" s="16" t="inlineStr">
        <is>
          <t>4.  Measure again after a set period — monthly or quarterly — and enter the 'after' figures.</t>
        </is>
      </c>
    </row>
    <row r="8" ht="30" customHeight="1">
      <c r="B8" s="16" t="inlineStr">
        <is>
          <t>5.  Check the guardrails. A faster workflow is not automatically a better one. If time fell but rework rose, you have not improved anything.</t>
        </is>
      </c>
    </row>
    <row r="9" ht="30" customHeight="1">
      <c r="B9" s="16" t="inlineStr">
        <is>
          <t>6.  Track the trend. One good month is an anecdote. Use the quarterly table to show the gain is sustained.</t>
        </is>
      </c>
    </row>
    <row r="10" ht="30" customHeight="1">
      <c r="B10" s="16" t="inlineStr">
        <is>
          <t>7.  Communicate it. Share a short summary or simple dashboard with your team — that is what builds credibility and keeps momentum.</t>
        </is>
      </c>
    </row>
    <row r="11" ht="30" customHeight="1">
      <c r="B11" s="17" t="inlineStr"/>
    </row>
    <row r="12" ht="30" customHeight="1">
      <c r="B12" s="17" t="inlineStr">
        <is>
          <t>The optional value-of-an-hour figure is there if your firm has an agreed number. If it does not, leave it blank and report hours saved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2026-07-13T18:12:08Z</dcterms:created>
  <dcterms:modified xmlns:dcterms="http://purl.org/dc/terms/" xmlns:xsi="http://www.w3.org/2001/XMLSchema-instance" xsi:type="dcterms:W3CDTF">2026-07-13T18:12:08Z</dcterms:modified>
</cp:coreProperties>
</file>